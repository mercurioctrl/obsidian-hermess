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Mayo 2026" sheetId="2" state="visible" r:id="rId4"/>
    <sheet name="Junio 2026" sheetId="3" state="visible" r:id="rId5"/>
    <sheet name="Julio 2026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<sst xmlns="http://schemas.openxmlformats.org/spreadsheetml/2006/main" count="253" uniqueCount="97">
  <si>
    <t xml:space="preserve">CALCULADORA DE COSTOS - EMPLEADO DE COMERCIO CCT 130/75</t>
  </si>
  <si>
    <t xml:space="preserve">Modificá las celdas AMARILLAS para recalcular automáticamente</t>
  </si>
  <si>
    <t xml:space="preserve">DATOS DE ENTRADA</t>
  </si>
  <si>
    <t xml:space="preserve">RESULTADOS</t>
  </si>
  <si>
    <t xml:space="preserve">SALARIO NETO DESEADO (en mano del empleado)</t>
  </si>
  <si>
    <t xml:space="preserve">SUELDO BRUTO (remunerativo + no remunerativo)</t>
  </si>
  <si>
    <t xml:space="preserve">DESGLOSE DE LIQUIDACIÓN</t>
  </si>
  <si>
    <t xml:space="preserve">Concepto</t>
  </si>
  <si>
    <t xml:space="preserve">Tipo</t>
  </si>
  <si>
    <t xml:space="preserve">Importe</t>
  </si>
  <si>
    <t xml:space="preserve">Coef.</t>
  </si>
  <si>
    <t xml:space="preserve">Cargo Cliente</t>
  </si>
  <si>
    <t xml:space="preserve">DATOS DEL CONVENIO CCT 130/75</t>
  </si>
  <si>
    <t xml:space="preserve">Sueldo Básico</t>
  </si>
  <si>
    <t xml:space="preserve">R</t>
  </si>
  <si>
    <t xml:space="preserve">Básico Vendedor B (Marzo 2026)</t>
  </si>
  <si>
    <t xml:space="preserve">Presentismo s/ Básico</t>
  </si>
  <si>
    <t xml:space="preserve">Suma Fija No Remunerativa</t>
  </si>
  <si>
    <t xml:space="preserve">Antigüedad s/ Básico</t>
  </si>
  <si>
    <t xml:space="preserve">Recomposición No Remunerativa</t>
  </si>
  <si>
    <t xml:space="preserve">A Cuenta Futuros Aumentos</t>
  </si>
  <si>
    <t xml:space="preserve">Presentismo (%)</t>
  </si>
  <si>
    <t xml:space="preserve">Presentismo s/ A Cta Fut. Aum.</t>
  </si>
  <si>
    <t xml:space="preserve">Antigüedad - años</t>
  </si>
  <si>
    <t xml:space="preserve">Antigüedad s/ A Cta Fut. Aum.</t>
  </si>
  <si>
    <t xml:space="preserve">Antigüedad (% por año)</t>
  </si>
  <si>
    <t xml:space="preserve">NR</t>
  </si>
  <si>
    <t xml:space="preserve">Antigüedad s/ Suma Fija NR</t>
  </si>
  <si>
    <t xml:space="preserve">APORTES DEL EMPLEADO</t>
  </si>
  <si>
    <t xml:space="preserve">Presentismo s/ Suma Fija NR</t>
  </si>
  <si>
    <t xml:space="preserve">Jubilación (Ley 24.241)</t>
  </si>
  <si>
    <t xml:space="preserve">PAMI (Ley 19.032)</t>
  </si>
  <si>
    <t xml:space="preserve">Antigüedad s/ Recomposición NR</t>
  </si>
  <si>
    <t xml:space="preserve">Obra Social (Ley 23.660)</t>
  </si>
  <si>
    <t xml:space="preserve">Presentismo s/ Recomposición NR</t>
  </si>
  <si>
    <t xml:space="preserve">Art. 100 CCT 130/75 (cuota solidaria)</t>
  </si>
  <si>
    <t xml:space="preserve">Total deducciones s/ remunerativo</t>
  </si>
  <si>
    <t xml:space="preserve">RESUMEN PARA EL CLIENTE</t>
  </si>
  <si>
    <t xml:space="preserve">Total deducciones s/ no remunerativo</t>
  </si>
  <si>
    <t xml:space="preserve">Salario en mano del empleado</t>
  </si>
  <si>
    <t xml:space="preserve">Neto en banco</t>
  </si>
  <si>
    <t xml:space="preserve">Sueldo bruto (rem + NR)</t>
  </si>
  <si>
    <t xml:space="preserve">Antes de deducciones</t>
  </si>
  <si>
    <t xml:space="preserve">CONTRIBUCIONES PATRONALES (gasto empleador)</t>
  </si>
  <si>
    <t xml:space="preserve">Gasto agencia por el empleado</t>
  </si>
  <si>
    <t xml:space="preserve">Bruto + cargas patronales</t>
  </si>
  <si>
    <t xml:space="preserve">SUSS (Jub+PAMI+Asig.Fam+FNE) - MiPyME 18%</t>
  </si>
  <si>
    <t xml:space="preserve">Fee de la agencia</t>
  </si>
  <si>
    <t xml:space="preserve">Ganancia agencia</t>
  </si>
  <si>
    <t xml:space="preserve">Obra Social patronal</t>
  </si>
  <si>
    <t xml:space="preserve">ART (aprox.)</t>
  </si>
  <si>
    <t xml:space="preserve">Facturación al cliente (sin IVA)</t>
  </si>
  <si>
    <t xml:space="preserve">Facturación sin IVA (= gasto + fee)</t>
  </si>
  <si>
    <t xml:space="preserve">Total contrib. patronales s/ remunerativo</t>
  </si>
  <si>
    <t xml:space="preserve">IVA</t>
  </si>
  <si>
    <t xml:space="preserve">Total contrib. patronales s/ no remunerativo</t>
  </si>
  <si>
    <t xml:space="preserve">TOTAL QUE PAGA EL CLIENTE</t>
  </si>
  <si>
    <t xml:space="preserve">Monto final con IVA</t>
  </si>
  <si>
    <t xml:space="preserve">COEFICIENTES AL CLIENTE</t>
  </si>
  <si>
    <t xml:space="preserve">Coeficiente Remunerativo</t>
  </si>
  <si>
    <t xml:space="preserve">VERIFICACIONES</t>
  </si>
  <si>
    <t xml:space="preserve">Coeficiente No Remunerativo</t>
  </si>
  <si>
    <t xml:space="preserve">✓ Gasto + Fee = Fact. sin IVA</t>
  </si>
  <si>
    <t xml:space="preserve">IVA (%)</t>
  </si>
  <si>
    <t xml:space="preserve">✓ Neto = Rem*(1-Ded_R) + NR*(1-Ded_NR)</t>
  </si>
  <si>
    <t xml:space="preserve">✓ Coef_R = 1 + Contrib_R + Fee_R</t>
  </si>
  <si>
    <t xml:space="preserve">Fee implícito s/ remunerativo</t>
  </si>
  <si>
    <t xml:space="preserve">INSTRUCCIONES</t>
  </si>
  <si>
    <t xml:space="preserve">1. Cambiá el SALARIO NETO (C5) para simular distintos montos.</t>
  </si>
  <si>
    <t xml:space="preserve">2. El BRUTO (C6) se calcula automáticamente.</t>
  </si>
  <si>
    <t xml:space="preserve">3. Ajustá AÑOS DE ANTIGÜEDAD (C13) según el empleado.</t>
  </si>
  <si>
    <t xml:space="preserve">4. Si cambian paritarias, actualizá el BÁSICO (C9).</t>
  </si>
  <si>
    <t xml:space="preserve">5. Si la agencia NO es MiPyME, cambiá SUSS de 18% a 20.40% (C25).</t>
  </si>
  <si>
    <t xml:space="preserve">6. Ajustá la ART (C27) según la alícuota real de tu aseguradora.</t>
  </si>
  <si>
    <t xml:space="preserve">7. Los COEFICIENTES (C32/C33) definen cuánto se cobra al cliente.</t>
  </si>
  <si>
    <t xml:space="preserve">8. Todas las celdas AMARILLAS son editables. El resto se calcula solo.</t>
  </si>
  <si>
    <t xml:space="preserve">LIQUIDACIÓN DE SUELDO - MAYO 2026</t>
  </si>
  <si>
    <t xml:space="preserve">Vendedor B - 48hs - CCT 130/75</t>
  </si>
  <si>
    <t xml:space="preserve">DATOS DEL MES</t>
  </si>
  <si>
    <t xml:space="preserve">Salario neto objetivo</t>
  </si>
  <si>
    <t xml:space="preserve">Básico Vendedor B (paritarias)</t>
  </si>
  <si>
    <t xml:space="preserve">Presentismo</t>
  </si>
  <si>
    <t xml:space="preserve">Años de antigüedad</t>
  </si>
  <si>
    <t xml:space="preserve">RECIBO DE SUELDO</t>
  </si>
  <si>
    <t xml:space="preserve">Importe Bruto</t>
  </si>
  <si>
    <t xml:space="preserve">Aporte %</t>
  </si>
  <si>
    <t xml:space="preserve">Deducción</t>
  </si>
  <si>
    <t xml:space="preserve">Neto</t>
  </si>
  <si>
    <t xml:space="preserve">Subtotal Remunerativo</t>
  </si>
  <si>
    <t xml:space="preserve">Subtotal No Remunerativo</t>
  </si>
  <si>
    <t xml:space="preserve">SUELDO BRUTO TOTAL</t>
  </si>
  <si>
    <t xml:space="preserve">COSTO PARA LA AGENCIA Y FACTURACIÓN AL CLIENTE</t>
  </si>
  <si>
    <t xml:space="preserve">Contribuciones patronales</t>
  </si>
  <si>
    <t xml:space="preserve">Gasto total de la agencia</t>
  </si>
  <si>
    <t xml:space="preserve">IVA 21%</t>
  </si>
  <si>
    <t xml:space="preserve">LIQUIDACIÓN DE SUELDO - JUNIO 2026</t>
  </si>
  <si>
    <t xml:space="preserve">LIQUIDACIÓN DE SUELDO - JULIO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</si>
</sst>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_);_(\$* \(#,##0\);_(\$* \-_);_(@_)"/>
    <numFmt numFmtId="166" formatCode="0.00"/>
    <numFmt numFmtId="167" formatCode="0.0%"/>
    <numFmt numFmtId="168" formatCode="0"/>
    <numFmt numFmtId="169" formatCode="_(\$* #,##0_);_(\$* \(#,##0\);_(\$* \-_);_(@_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404040"/>
      </patternFill>
    </fill>
    <fill>
      <patternFill patternType="solid">
        <fgColor rgb="FFFFFFCC"/>
        <bgColor rgb="FFFFFFFF"/>
      </patternFill>
    </fill>
    <fill>
      <patternFill patternType="solid">
        <fgColor rgb="FFE8D5F5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BE5D6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CC6600"/>
      <rgbColor rgb="FF666666"/>
      <rgbColor rgb="FF969696"/>
      <rgbColor rgb="FF003366"/>
      <rgbColor rgb="FF339966"/>
      <rgbColor rgb="FF003300"/>
      <rgbColor rgb="FF40404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B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4"/>
    <col collapsed="false" customWidth="true" hidden="false" outlineLevel="0" max="5" min="5" style="1" width="44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2"/>
    <col collapsed="false" customWidth="true" hidden="false" outlineLevel="0" max="9" min="9" style="1" width="20"/>
  </cols>
  <sheetData>
    <row r="1" customFormat="false" ht="19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B4" s="4" t="s">
        <v>2</v>
      </c>
      <c r="C4" s="4"/>
      <c r="E4" s="4" t="s">
        <v>3</v>
      </c>
      <c r="F4" s="4"/>
      <c r="G4" s="4"/>
      <c r="H4" s="4"/>
      <c r="I4" s="4"/>
    </row>
    <row r="5" customFormat="false" ht="26.25" hidden="false" customHeight="true" outlineLevel="0" collapsed="false">
      <c r="B5" s="5" t="s">
        <v>4</v>
      </c>
      <c r="C5" s="6" t="n">
        <v>2200000</v>
      </c>
    </row>
    <row r="6" customFormat="false" ht="26.25" hidden="false" customHeight="true" outlineLevel="0" collapsed="false">
      <c r="B6" s="7" t="s">
        <v>5</v>
      </c>
      <c r="C6" s="8" t="n">
        <f aca="false">G8+G9+G10+G11+G12+G13+G14+G15+G16+G17+G18+G19</f>
        <v>2693103.58024691</v>
      </c>
      <c r="E6" s="9" t="s">
        <v>6</v>
      </c>
      <c r="F6" s="9"/>
      <c r="G6" s="9"/>
      <c r="H6" s="9"/>
      <c r="I6" s="9"/>
    </row>
    <row r="7" customFormat="false" ht="15" hidden="false" customHeight="true" outlineLevel="0" collapsed="false">
      <c r="E7" s="10" t="s">
        <v>7</v>
      </c>
      <c r="F7" s="10" t="s">
        <v>8</v>
      </c>
      <c r="G7" s="10" t="s">
        <v>9</v>
      </c>
      <c r="H7" s="10" t="s">
        <v>10</v>
      </c>
      <c r="I7" s="10" t="s">
        <v>11</v>
      </c>
    </row>
    <row r="8" customFormat="false" ht="15" hidden="false" customHeight="true" outlineLevel="0" collapsed="false">
      <c r="B8" s="9" t="s">
        <v>12</v>
      </c>
      <c r="C8" s="9"/>
      <c r="E8" s="11" t="s">
        <v>13</v>
      </c>
      <c r="F8" s="12" t="s">
        <v>14</v>
      </c>
      <c r="G8" s="13" t="n">
        <f aca="false">C9</f>
        <v>1094044</v>
      </c>
      <c r="H8" s="14" t="n">
        <f aca="false">C32</f>
        <v>1.57</v>
      </c>
      <c r="I8" s="13" t="n">
        <f aca="false">G8*H8</f>
        <v>1717649.08</v>
      </c>
    </row>
    <row r="9" customFormat="false" ht="15" hidden="false" customHeight="true" outlineLevel="0" collapsed="false">
      <c r="B9" s="5" t="s">
        <v>15</v>
      </c>
      <c r="C9" s="6" t="n">
        <v>1094044</v>
      </c>
      <c r="E9" s="11" t="s">
        <v>16</v>
      </c>
      <c r="F9" s="12" t="s">
        <v>14</v>
      </c>
      <c r="G9" s="13" t="n">
        <f aca="false">C9*C12</f>
        <v>91133.8652</v>
      </c>
      <c r="H9" s="14" t="n">
        <f aca="false">C32</f>
        <v>1.57</v>
      </c>
      <c r="I9" s="13" t="n">
        <f aca="false">G9*H9</f>
        <v>143080.168364</v>
      </c>
    </row>
    <row r="10" customFormat="false" ht="15" hidden="false" customHeight="true" outlineLevel="0" collapsed="false">
      <c r="B10" s="5" t="s">
        <v>17</v>
      </c>
      <c r="C10" s="6" t="n">
        <v>40000</v>
      </c>
      <c r="E10" s="11" t="s">
        <v>18</v>
      </c>
      <c r="F10" s="12" t="s">
        <v>14</v>
      </c>
      <c r="G10" s="13" t="n">
        <f aca="false">C9*C13*C14</f>
        <v>10940.44</v>
      </c>
      <c r="H10" s="14" t="n">
        <f aca="false">C32</f>
        <v>1.57</v>
      </c>
      <c r="I10" s="13" t="n">
        <f aca="false">G10*H10</f>
        <v>17176.4908</v>
      </c>
    </row>
    <row r="11" customFormat="false" ht="15" hidden="false" customHeight="true" outlineLevel="0" collapsed="false">
      <c r="B11" s="5" t="s">
        <v>19</v>
      </c>
      <c r="C11" s="6" t="n">
        <v>60000</v>
      </c>
      <c r="E11" s="11" t="s">
        <v>20</v>
      </c>
      <c r="F11" s="12" t="s">
        <v>14</v>
      </c>
      <c r="G11" s="13" t="n">
        <f aca="false">((C5-(G14+G15+G16+G17+G18+G19)*(1-C22))/(1-C21)-C9*(1+C12+C13*C14))/(1+C12+C13*C14)</f>
        <v>1269235.5941159</v>
      </c>
      <c r="H11" s="14" t="n">
        <f aca="false">C32</f>
        <v>1.57</v>
      </c>
      <c r="I11" s="13" t="n">
        <f aca="false">G11*H11</f>
        <v>1992699.88276196</v>
      </c>
    </row>
    <row r="12" customFormat="false" ht="15" hidden="false" customHeight="true" outlineLevel="0" collapsed="false">
      <c r="B12" s="5" t="s">
        <v>21</v>
      </c>
      <c r="C12" s="15" t="n">
        <v>0.0833</v>
      </c>
      <c r="E12" s="11" t="s">
        <v>22</v>
      </c>
      <c r="F12" s="12" t="s">
        <v>14</v>
      </c>
      <c r="G12" s="13" t="n">
        <f aca="false">G11*C12</f>
        <v>105727.324989855</v>
      </c>
      <c r="H12" s="14" t="n">
        <f aca="false">C32</f>
        <v>1.57</v>
      </c>
      <c r="I12" s="13" t="n">
        <f aca="false">G12*H12</f>
        <v>165991.900234072</v>
      </c>
    </row>
    <row r="13" customFormat="false" ht="15" hidden="false" customHeight="true" outlineLevel="0" collapsed="false">
      <c r="B13" s="5" t="s">
        <v>23</v>
      </c>
      <c r="C13" s="16" t="n">
        <v>1</v>
      </c>
      <c r="E13" s="11" t="s">
        <v>24</v>
      </c>
      <c r="F13" s="12" t="s">
        <v>14</v>
      </c>
      <c r="G13" s="13" t="n">
        <f aca="false">G11*C13*C14</f>
        <v>12692.355941159</v>
      </c>
      <c r="H13" s="14" t="n">
        <f aca="false">C32</f>
        <v>1.57</v>
      </c>
      <c r="I13" s="13" t="n">
        <f aca="false">G13*H13</f>
        <v>19926.9988276196</v>
      </c>
    </row>
    <row r="14" customFormat="false" ht="15" hidden="false" customHeight="true" outlineLevel="0" collapsed="false">
      <c r="B14" s="5" t="s">
        <v>25</v>
      </c>
      <c r="C14" s="15" t="n">
        <v>0.01</v>
      </c>
      <c r="E14" s="17" t="s">
        <v>17</v>
      </c>
      <c r="F14" s="18" t="s">
        <v>26</v>
      </c>
      <c r="G14" s="19" t="n">
        <f aca="false">C10</f>
        <v>40000</v>
      </c>
      <c r="H14" s="20" t="n">
        <f aca="false">C33</f>
        <v>1.3</v>
      </c>
      <c r="I14" s="19" t="n">
        <f aca="false">G14*H14</f>
        <v>52000</v>
      </c>
    </row>
    <row r="15" customFormat="false" ht="15" hidden="false" customHeight="true" outlineLevel="0" collapsed="false">
      <c r="E15" s="17" t="s">
        <v>27</v>
      </c>
      <c r="F15" s="18" t="s">
        <v>26</v>
      </c>
      <c r="G15" s="19" t="n">
        <f aca="false">C10*C13*C14</f>
        <v>400</v>
      </c>
      <c r="H15" s="20" t="n">
        <f aca="false">C33</f>
        <v>1.3</v>
      </c>
      <c r="I15" s="19" t="n">
        <f aca="false">G15*H15</f>
        <v>520</v>
      </c>
    </row>
    <row r="16" customFormat="false" ht="15" hidden="false" customHeight="true" outlineLevel="0" collapsed="false">
      <c r="B16" s="9" t="s">
        <v>28</v>
      </c>
      <c r="C16" s="9"/>
      <c r="E16" s="17" t="s">
        <v>29</v>
      </c>
      <c r="F16" s="18" t="s">
        <v>26</v>
      </c>
      <c r="G16" s="19" t="n">
        <f aca="false">C10*C12</f>
        <v>3332</v>
      </c>
      <c r="H16" s="20" t="n">
        <f aca="false">C33</f>
        <v>1.3</v>
      </c>
      <c r="I16" s="19" t="n">
        <f aca="false">G16*H16</f>
        <v>4331.6</v>
      </c>
    </row>
    <row r="17" customFormat="false" ht="15" hidden="false" customHeight="true" outlineLevel="0" collapsed="false">
      <c r="B17" s="5" t="s">
        <v>30</v>
      </c>
      <c r="C17" s="15" t="n">
        <v>0.11</v>
      </c>
      <c r="E17" s="17" t="s">
        <v>19</v>
      </c>
      <c r="F17" s="18" t="s">
        <v>26</v>
      </c>
      <c r="G17" s="19" t="n">
        <f aca="false">C11</f>
        <v>60000</v>
      </c>
      <c r="H17" s="20" t="n">
        <f aca="false">C33</f>
        <v>1.3</v>
      </c>
      <c r="I17" s="19" t="n">
        <f aca="false">G17*H17</f>
        <v>78000</v>
      </c>
    </row>
    <row r="18" customFormat="false" ht="15" hidden="false" customHeight="true" outlineLevel="0" collapsed="false">
      <c r="B18" s="5" t="s">
        <v>31</v>
      </c>
      <c r="C18" s="15" t="n">
        <v>0.03</v>
      </c>
      <c r="E18" s="17" t="s">
        <v>32</v>
      </c>
      <c r="F18" s="18" t="s">
        <v>26</v>
      </c>
      <c r="G18" s="19" t="n">
        <f aca="false">C11*C13*C14</f>
        <v>600</v>
      </c>
      <c r="H18" s="20" t="n">
        <f aca="false">C33</f>
        <v>1.3</v>
      </c>
      <c r="I18" s="19" t="n">
        <f aca="false">G18*H18</f>
        <v>780</v>
      </c>
    </row>
    <row r="19" customFormat="false" ht="15" hidden="false" customHeight="true" outlineLevel="0" collapsed="false">
      <c r="B19" s="5" t="s">
        <v>33</v>
      </c>
      <c r="C19" s="15" t="n">
        <v>0.03</v>
      </c>
      <c r="E19" s="17" t="s">
        <v>34</v>
      </c>
      <c r="F19" s="18" t="s">
        <v>26</v>
      </c>
      <c r="G19" s="19" t="n">
        <f aca="false">C11*C12</f>
        <v>4998</v>
      </c>
      <c r="H19" s="20" t="n">
        <f aca="false">C33</f>
        <v>1.3</v>
      </c>
      <c r="I19" s="19" t="n">
        <f aca="false">G19*H19</f>
        <v>6497.4</v>
      </c>
    </row>
    <row r="20" customFormat="false" ht="15" hidden="false" customHeight="true" outlineLevel="0" collapsed="false">
      <c r="B20" s="5" t="s">
        <v>35</v>
      </c>
      <c r="C20" s="15" t="n">
        <v>0.02</v>
      </c>
    </row>
    <row r="21" customFormat="false" ht="15" hidden="false" customHeight="true" outlineLevel="0" collapsed="false">
      <c r="B21" s="7" t="s">
        <v>36</v>
      </c>
      <c r="C21" s="21" t="n">
        <f aca="false">C17+C18+C19+C20</f>
        <v>0.19</v>
      </c>
      <c r="E21" s="9" t="s">
        <v>37</v>
      </c>
      <c r="F21" s="9"/>
      <c r="G21" s="9"/>
      <c r="H21" s="9"/>
      <c r="I21" s="9"/>
    </row>
    <row r="22" customFormat="false" ht="15.75" hidden="false" customHeight="true" outlineLevel="0" collapsed="false">
      <c r="B22" s="7" t="s">
        <v>38</v>
      </c>
      <c r="C22" s="21" t="n">
        <f aca="false">C20</f>
        <v>0.02</v>
      </c>
      <c r="E22" s="22" t="s">
        <v>39</v>
      </c>
      <c r="F22" s="11"/>
      <c r="G22" s="23" t="n">
        <f aca="false">(G8+G9+G10+G11+G12+G13)*(1-C21)+(G14+G15+G16+G17+G18+G19)*(1-C22)</f>
        <v>2200000</v>
      </c>
      <c r="H22" s="24" t="s">
        <v>40</v>
      </c>
      <c r="I22" s="24"/>
    </row>
    <row r="23" customFormat="false" ht="15" hidden="false" customHeight="true" outlineLevel="0" collapsed="false">
      <c r="E23" s="25" t="s">
        <v>41</v>
      </c>
      <c r="F23" s="26"/>
      <c r="G23" s="27" t="n">
        <f aca="false">G8+G9+G10+G11+G12+G13+G14+G15+G16+G17+G18+G19</f>
        <v>2693103.58024691</v>
      </c>
      <c r="H23" s="28" t="s">
        <v>42</v>
      </c>
      <c r="I23" s="28"/>
    </row>
    <row r="24" customFormat="false" ht="15" hidden="false" customHeight="true" outlineLevel="0" collapsed="false">
      <c r="B24" s="9" t="s">
        <v>43</v>
      </c>
      <c r="C24" s="9"/>
      <c r="E24" s="29" t="s">
        <v>44</v>
      </c>
      <c r="F24" s="30"/>
      <c r="G24" s="31" t="n">
        <f aca="false">(G8+G9+G10+G11+G12+G13)*(1+C28)+(G14+G15+G16+G17+G18+G19)*(1+C29)</f>
        <v>3394002.34691358</v>
      </c>
      <c r="H24" s="32" t="s">
        <v>45</v>
      </c>
      <c r="I24" s="32"/>
    </row>
    <row r="25" customFormat="false" ht="26.25" hidden="false" customHeight="true" outlineLevel="0" collapsed="false">
      <c r="B25" s="5" t="s">
        <v>46</v>
      </c>
      <c r="C25" s="15" t="n">
        <v>0.18</v>
      </c>
      <c r="E25" s="33" t="s">
        <v>47</v>
      </c>
      <c r="F25" s="17"/>
      <c r="G25" s="34" t="n">
        <f aca="false">(G8+G9+G10+G11+G12+G13)*(C32-1-C28)+(G14+G15+G16+G17+G18+G19)*(C33-1-C29)</f>
        <v>804651.174074074</v>
      </c>
      <c r="H25" s="35" t="s">
        <v>48</v>
      </c>
      <c r="I25" s="35"/>
    </row>
    <row r="26" customFormat="false" ht="15" hidden="false" customHeight="true" outlineLevel="0" collapsed="false">
      <c r="B26" s="5" t="s">
        <v>49</v>
      </c>
      <c r="C26" s="15" t="n">
        <v>0.06</v>
      </c>
    </row>
    <row r="27" customFormat="false" ht="15" hidden="false" customHeight="true" outlineLevel="0" collapsed="false">
      <c r="B27" s="5" t="s">
        <v>50</v>
      </c>
      <c r="C27" s="15" t="n">
        <v>0.03</v>
      </c>
      <c r="E27" s="7" t="s">
        <v>51</v>
      </c>
      <c r="F27" s="5"/>
      <c r="G27" s="36" t="n">
        <f aca="false">I8+I9+I10+I11+I12+I13+I14+I15+I16+I17+I18+I19</f>
        <v>4198653.52098766</v>
      </c>
      <c r="H27" s="37" t="s">
        <v>52</v>
      </c>
      <c r="I27" s="37"/>
    </row>
    <row r="28" customFormat="false" ht="15" hidden="false" customHeight="true" outlineLevel="0" collapsed="false">
      <c r="B28" s="7" t="s">
        <v>53</v>
      </c>
      <c r="C28" s="38" t="n">
        <f aca="false">C25+C26+C27</f>
        <v>0.27</v>
      </c>
      <c r="E28" s="5" t="s">
        <v>54</v>
      </c>
      <c r="F28" s="5"/>
      <c r="G28" s="39" t="n">
        <f aca="false">G27*C34</f>
        <v>881717.239407408</v>
      </c>
      <c r="H28" s="37"/>
      <c r="I28" s="37"/>
    </row>
    <row r="29" customFormat="false" ht="15.75" hidden="false" customHeight="true" outlineLevel="0" collapsed="false">
      <c r="B29" s="7" t="s">
        <v>55</v>
      </c>
      <c r="C29" s="38" t="n">
        <f aca="false">C27</f>
        <v>0.03</v>
      </c>
      <c r="E29" s="40" t="s">
        <v>56</v>
      </c>
      <c r="F29" s="41"/>
      <c r="G29" s="42" t="n">
        <f aca="false">G27+G28</f>
        <v>5080370.76039506</v>
      </c>
      <c r="H29" s="43" t="s">
        <v>57</v>
      </c>
      <c r="I29" s="43"/>
    </row>
    <row r="31" customFormat="false" ht="15" hidden="false" customHeight="true" outlineLevel="0" collapsed="false">
      <c r="B31" s="9" t="s">
        <v>58</v>
      </c>
      <c r="C31" s="9"/>
    </row>
    <row r="32" customFormat="false" ht="15" hidden="false" customHeight="true" outlineLevel="0" collapsed="false">
      <c r="B32" s="5" t="s">
        <v>59</v>
      </c>
      <c r="C32" s="44" t="n">
        <v>1.57</v>
      </c>
      <c r="E32" s="45" t="s">
        <v>60</v>
      </c>
      <c r="F32" s="45"/>
      <c r="G32" s="45"/>
      <c r="H32" s="45"/>
      <c r="I32" s="45"/>
    </row>
    <row r="33" customFormat="false" ht="15" hidden="false" customHeight="true" outlineLevel="0" collapsed="false">
      <c r="B33" s="5" t="s">
        <v>61</v>
      </c>
      <c r="C33" s="44" t="n">
        <v>1.3</v>
      </c>
      <c r="E33" s="37" t="s">
        <v>62</v>
      </c>
      <c r="G33" s="46" t="n">
        <f aca="false">G24+G25</f>
        <v>4198653.52098765</v>
      </c>
    </row>
    <row r="34" customFormat="false" ht="15" hidden="false" customHeight="true" outlineLevel="0" collapsed="false">
      <c r="B34" s="5" t="s">
        <v>63</v>
      </c>
      <c r="C34" s="15" t="n">
        <v>0.21</v>
      </c>
      <c r="E34" s="37" t="s">
        <v>64</v>
      </c>
      <c r="G34" s="46" t="n">
        <f aca="false">(G8+G9+G10+G11+G12+G13)*(1-C21)+(G14+G15+G16+G17+G18+G19)*(1-C22)</f>
        <v>2200000</v>
      </c>
    </row>
    <row r="35" customFormat="false" ht="15" hidden="false" customHeight="true" outlineLevel="0" collapsed="false">
      <c r="E35" s="37" t="s">
        <v>65</v>
      </c>
      <c r="G35" s="47" t="n">
        <f aca="false">1+C28+(C32-1-C28)</f>
        <v>1.57</v>
      </c>
    </row>
    <row r="36" customFormat="false" ht="15" hidden="false" customHeight="true" outlineLevel="0" collapsed="false">
      <c r="B36" s="37" t="s">
        <v>66</v>
      </c>
      <c r="C36" s="48" t="n">
        <f aca="false">C32-1-C28</f>
        <v>0.3</v>
      </c>
    </row>
    <row r="37" customFormat="false" ht="15" hidden="false" customHeight="true" outlineLevel="0" collapsed="false">
      <c r="B37" s="49" t="s">
        <v>67</v>
      </c>
      <c r="C37" s="49"/>
      <c r="D37" s="49"/>
      <c r="E37" s="49"/>
      <c r="F37" s="49"/>
      <c r="G37" s="49"/>
      <c r="H37" s="49"/>
      <c r="I37" s="49"/>
    </row>
    <row r="38" customFormat="false" ht="15" hidden="false" customHeight="true" outlineLevel="0" collapsed="false">
      <c r="B38" s="50" t="s">
        <v>68</v>
      </c>
      <c r="C38" s="50"/>
      <c r="D38" s="50"/>
      <c r="E38" s="50"/>
      <c r="F38" s="50"/>
      <c r="G38" s="50"/>
      <c r="H38" s="50"/>
      <c r="I38" s="50"/>
    </row>
    <row r="39" customFormat="false" ht="15" hidden="false" customHeight="true" outlineLevel="0" collapsed="false">
      <c r="B39" s="50" t="s">
        <v>69</v>
      </c>
      <c r="C39" s="50"/>
      <c r="D39" s="50"/>
      <c r="E39" s="50"/>
      <c r="F39" s="50"/>
      <c r="G39" s="50"/>
      <c r="H39" s="50"/>
      <c r="I39" s="50"/>
    </row>
    <row r="40" customFormat="false" ht="15" hidden="false" customHeight="true" outlineLevel="0" collapsed="false">
      <c r="B40" s="50" t="s">
        <v>70</v>
      </c>
      <c r="C40" s="50"/>
      <c r="D40" s="50"/>
      <c r="E40" s="50"/>
      <c r="F40" s="50"/>
      <c r="G40" s="50"/>
      <c r="H40" s="50"/>
      <c r="I40" s="50"/>
    </row>
    <row r="41" customFormat="false" ht="15" hidden="false" customHeight="true" outlineLevel="0" collapsed="false">
      <c r="B41" s="50" t="s">
        <v>71</v>
      </c>
      <c r="C41" s="50"/>
      <c r="D41" s="50"/>
      <c r="E41" s="50"/>
      <c r="F41" s="50"/>
      <c r="G41" s="50"/>
      <c r="H41" s="50"/>
      <c r="I41" s="50"/>
    </row>
    <row r="42" customFormat="false" ht="15" hidden="false" customHeight="true" outlineLevel="0" collapsed="false">
      <c r="B42" s="50" t="s">
        <v>72</v>
      </c>
      <c r="C42" s="50"/>
      <c r="D42" s="50"/>
      <c r="E42" s="50"/>
      <c r="F42" s="50"/>
      <c r="G42" s="50"/>
      <c r="H42" s="50"/>
      <c r="I42" s="50"/>
    </row>
    <row r="43" customFormat="false" ht="15" hidden="false" customHeight="true" outlineLevel="0" collapsed="false">
      <c r="B43" s="50" t="s">
        <v>73</v>
      </c>
      <c r="C43" s="50"/>
      <c r="D43" s="50"/>
      <c r="E43" s="50"/>
      <c r="F43" s="50"/>
      <c r="G43" s="50"/>
      <c r="H43" s="50"/>
      <c r="I43" s="50"/>
    </row>
    <row r="44" customFormat="false" ht="15" hidden="false" customHeight="true" outlineLevel="0" collapsed="false">
      <c r="B44" s="50" t="s">
        <v>74</v>
      </c>
      <c r="C44" s="50"/>
      <c r="D44" s="50"/>
      <c r="E44" s="50"/>
      <c r="F44" s="50"/>
      <c r="G44" s="50"/>
      <c r="H44" s="50"/>
      <c r="I44" s="50"/>
    </row>
    <row r="45" customFormat="false" ht="15" hidden="false" customHeight="true" outlineLevel="0" collapsed="false">
      <c r="B45" s="50" t="s">
        <v>75</v>
      </c>
      <c r="C45" s="50"/>
      <c r="D45" s="50"/>
      <c r="E45" s="50"/>
      <c r="F45" s="50"/>
      <c r="G45" s="50"/>
      <c r="H45" s="50"/>
      <c r="I45" s="50"/>
    </row>
  </sheetData>
  <mergeCells count="27">
    <mergeCell ref="B1:I1"/>
    <mergeCell ref="B2:I2"/>
    <mergeCell ref="B4:C4"/>
    <mergeCell ref="E4:I4"/>
    <mergeCell ref="E6:I6"/>
    <mergeCell ref="B8:C8"/>
    <mergeCell ref="B16:C16"/>
    <mergeCell ref="E21:I21"/>
    <mergeCell ref="H22:I22"/>
    <mergeCell ref="H23:I23"/>
    <mergeCell ref="B24:C24"/>
    <mergeCell ref="H24:I24"/>
    <mergeCell ref="H25:I25"/>
    <mergeCell ref="H27:I27"/>
    <mergeCell ref="H28:I28"/>
    <mergeCell ref="H29:I29"/>
    <mergeCell ref="B31:C31"/>
    <mergeCell ref="E32:I32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B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18"/>
  </cols>
  <sheetData>
    <row r="1" customFormat="false" ht="19.7" hidden="false" customHeight="true" outlineLevel="0" collapsed="false">
      <c r="B1" s="51" t="s">
        <v>76</v>
      </c>
      <c r="C1" s="51"/>
      <c r="D1" s="51"/>
      <c r="E1" s="51"/>
      <c r="F1" s="51"/>
      <c r="G1" s="51"/>
    </row>
    <row r="2" customFormat="false" ht="15" hidden="false" customHeight="true" outlineLevel="0" collapsed="false">
      <c r="B2" s="52" t="s">
        <v>77</v>
      </c>
      <c r="C2" s="52"/>
      <c r="D2" s="52"/>
      <c r="E2" s="52"/>
      <c r="F2" s="52"/>
      <c r="G2" s="52"/>
    </row>
    <row r="4" customFormat="false" ht="15" hidden="false" customHeight="true" outlineLevel="0" collapsed="false">
      <c r="B4" s="4" t="s">
        <v>78</v>
      </c>
      <c r="C4" s="4"/>
      <c r="D4" s="4"/>
      <c r="E4" s="4"/>
      <c r="F4" s="4"/>
      <c r="G4" s="4"/>
    </row>
    <row r="5" customFormat="false" ht="26.85" hidden="false" customHeight="false" outlineLevel="0" collapsed="false">
      <c r="B5" s="5" t="s">
        <v>79</v>
      </c>
      <c r="C5" s="53" t="n">
        <v>2200000</v>
      </c>
    </row>
    <row r="6" customFormat="false" ht="26.85" hidden="false" customHeight="false" outlineLevel="0" collapsed="false">
      <c r="B6" s="5" t="s">
        <v>80</v>
      </c>
      <c r="C6" s="53" t="n">
        <v>1094044</v>
      </c>
    </row>
    <row r="7" customFormat="false" ht="15" hidden="false" customHeight="false" outlineLevel="0" collapsed="false">
      <c r="B7" s="5" t="s">
        <v>17</v>
      </c>
      <c r="C7" s="53" t="n">
        <v>40000</v>
      </c>
    </row>
    <row r="8" customFormat="false" ht="15" hidden="false" customHeight="false" outlineLevel="0" collapsed="false">
      <c r="B8" s="5" t="s">
        <v>19</v>
      </c>
      <c r="C8" s="53" t="n">
        <v>60000</v>
      </c>
    </row>
    <row r="9" customFormat="false" ht="15" hidden="false" customHeight="false" outlineLevel="0" collapsed="false">
      <c r="B9" s="5" t="s">
        <v>81</v>
      </c>
      <c r="C9" s="15" t="n">
        <v>0.0833</v>
      </c>
    </row>
    <row r="10" customFormat="false" ht="15" hidden="false" customHeight="false" outlineLevel="0" collapsed="false">
      <c r="B10" s="5" t="s">
        <v>82</v>
      </c>
      <c r="C10" s="16" t="n">
        <v>1</v>
      </c>
    </row>
    <row r="11" customFormat="false" ht="15" hidden="false" customHeight="false" outlineLevel="0" collapsed="false">
      <c r="B11" s="5" t="s">
        <v>25</v>
      </c>
      <c r="C11" s="15" t="n">
        <v>0.01</v>
      </c>
    </row>
    <row r="13" customFormat="false" ht="15" hidden="false" customHeight="true" outlineLevel="0" collapsed="false">
      <c r="B13" s="4" t="s">
        <v>83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10" t="s">
        <v>7</v>
      </c>
      <c r="C14" s="10" t="s">
        <v>8</v>
      </c>
      <c r="D14" s="10" t="s">
        <v>84</v>
      </c>
      <c r="E14" s="10" t="s">
        <v>85</v>
      </c>
      <c r="F14" s="10" t="s">
        <v>86</v>
      </c>
      <c r="G14" s="10" t="s">
        <v>87</v>
      </c>
    </row>
    <row r="15" customFormat="false" ht="15" hidden="false" customHeight="false" outlineLevel="0" collapsed="false">
      <c r="B15" s="11" t="s">
        <v>13</v>
      </c>
      <c r="C15" s="12" t="s">
        <v>14</v>
      </c>
      <c r="D15" s="54" t="n">
        <f aca="false">C6</f>
        <v>1094044</v>
      </c>
      <c r="E15" s="55" t="n">
        <v>0.19</v>
      </c>
      <c r="F15" s="54" t="n">
        <f aca="false">D15*E15</f>
        <v>207868.36</v>
      </c>
      <c r="G15" s="54" t="n">
        <f aca="false">D15-F15</f>
        <v>886175.64</v>
      </c>
    </row>
    <row r="16" customFormat="false" ht="15" hidden="false" customHeight="false" outlineLevel="0" collapsed="false">
      <c r="B16" s="11" t="s">
        <v>16</v>
      </c>
      <c r="C16" s="12" t="s">
        <v>14</v>
      </c>
      <c r="D16" s="54" t="n">
        <f aca="false">C6*C9</f>
        <v>91133.8652</v>
      </c>
      <c r="E16" s="55" t="n">
        <v>0.19</v>
      </c>
      <c r="F16" s="54" t="n">
        <f aca="false">D16*E16</f>
        <v>17315.434388</v>
      </c>
      <c r="G16" s="54" t="n">
        <f aca="false">D16-F16</f>
        <v>73818.430812</v>
      </c>
    </row>
    <row r="17" customFormat="false" ht="15" hidden="false" customHeight="false" outlineLevel="0" collapsed="false">
      <c r="B17" s="11" t="s">
        <v>18</v>
      </c>
      <c r="C17" s="12" t="s">
        <v>14</v>
      </c>
      <c r="D17" s="54" t="n">
        <f aca="false">C6*C10*C11</f>
        <v>10940.44</v>
      </c>
      <c r="E17" s="55" t="n">
        <v>0.19</v>
      </c>
      <c r="F17" s="54" t="n">
        <f aca="false">D17*E17</f>
        <v>2078.6836</v>
      </c>
      <c r="G17" s="54" t="n">
        <f aca="false">D17-F17</f>
        <v>8861.7564</v>
      </c>
    </row>
    <row r="18" customFormat="false" ht="15" hidden="false" customHeight="false" outlineLevel="0" collapsed="false">
      <c r="B18" s="11" t="s">
        <v>20</v>
      </c>
      <c r="C18" s="12" t="s">
        <v>14</v>
      </c>
      <c r="D18" s="54" t="n">
        <f aca="false">((C5-(D21+D22+D23+D24+D25+D26)*(1-0.02))/(1-0.19)-C6*(1+C9+C10*C11))/(1+C9+C10*C11)</f>
        <v>1269235.5941159</v>
      </c>
      <c r="E18" s="55" t="n">
        <v>0.19</v>
      </c>
      <c r="F18" s="54" t="n">
        <f aca="false">D18*E18</f>
        <v>241154.762882021</v>
      </c>
      <c r="G18" s="54" t="n">
        <f aca="false">D18-F18</f>
        <v>1028080.83123388</v>
      </c>
    </row>
    <row r="19" customFormat="false" ht="15" hidden="false" customHeight="false" outlineLevel="0" collapsed="false">
      <c r="B19" s="11" t="s">
        <v>22</v>
      </c>
      <c r="C19" s="12" t="s">
        <v>14</v>
      </c>
      <c r="D19" s="54" t="n">
        <f aca="false">D18*C9</f>
        <v>105727.324989855</v>
      </c>
      <c r="E19" s="55" t="n">
        <v>0.19</v>
      </c>
      <c r="F19" s="54" t="n">
        <f aca="false">D19*E19</f>
        <v>20088.1917480724</v>
      </c>
      <c r="G19" s="54" t="n">
        <f aca="false">D19-F19</f>
        <v>85639.1332417821</v>
      </c>
    </row>
    <row r="20" customFormat="false" ht="15" hidden="false" customHeight="false" outlineLevel="0" collapsed="false">
      <c r="B20" s="11" t="s">
        <v>24</v>
      </c>
      <c r="C20" s="12" t="s">
        <v>14</v>
      </c>
      <c r="D20" s="54" t="n">
        <f aca="false">D18*C10*C11</f>
        <v>12692.355941159</v>
      </c>
      <c r="E20" s="55" t="n">
        <v>0.19</v>
      </c>
      <c r="F20" s="54" t="n">
        <f aca="false">D20*E20</f>
        <v>2411.54762882021</v>
      </c>
      <c r="G20" s="54" t="n">
        <f aca="false">D20-F20</f>
        <v>10280.8083123388</v>
      </c>
    </row>
    <row r="21" customFormat="false" ht="15" hidden="false" customHeight="false" outlineLevel="0" collapsed="false">
      <c r="B21" s="17" t="s">
        <v>17</v>
      </c>
      <c r="C21" s="18" t="s">
        <v>26</v>
      </c>
      <c r="D21" s="56" t="n">
        <f aca="false">C7</f>
        <v>40000</v>
      </c>
      <c r="E21" s="57" t="n">
        <v>0.02</v>
      </c>
      <c r="F21" s="56" t="n">
        <f aca="false">D21*E21</f>
        <v>800</v>
      </c>
      <c r="G21" s="56" t="n">
        <f aca="false">D21-F21</f>
        <v>39200</v>
      </c>
    </row>
    <row r="22" customFormat="false" ht="15" hidden="false" customHeight="false" outlineLevel="0" collapsed="false">
      <c r="B22" s="17" t="s">
        <v>27</v>
      </c>
      <c r="C22" s="18" t="s">
        <v>26</v>
      </c>
      <c r="D22" s="56" t="n">
        <f aca="false">C7*C10*C11</f>
        <v>400</v>
      </c>
      <c r="E22" s="57" t="n">
        <v>0.02</v>
      </c>
      <c r="F22" s="56" t="n">
        <f aca="false">D22*E22</f>
        <v>8</v>
      </c>
      <c r="G22" s="56" t="n">
        <f aca="false">D22-F22</f>
        <v>392</v>
      </c>
    </row>
    <row r="23" customFormat="false" ht="15" hidden="false" customHeight="false" outlineLevel="0" collapsed="false">
      <c r="B23" s="17" t="s">
        <v>29</v>
      </c>
      <c r="C23" s="18" t="s">
        <v>26</v>
      </c>
      <c r="D23" s="56" t="n">
        <f aca="false">C7*C9</f>
        <v>3332</v>
      </c>
      <c r="E23" s="57" t="n">
        <v>0.02</v>
      </c>
      <c r="F23" s="56" t="n">
        <f aca="false">D23*E23</f>
        <v>66.64</v>
      </c>
      <c r="G23" s="56" t="n">
        <f aca="false">D23-F23</f>
        <v>3265.36</v>
      </c>
    </row>
    <row r="24" customFormat="false" ht="15" hidden="false" customHeight="false" outlineLevel="0" collapsed="false">
      <c r="B24" s="17" t="s">
        <v>19</v>
      </c>
      <c r="C24" s="18" t="s">
        <v>26</v>
      </c>
      <c r="D24" s="56" t="n">
        <f aca="false">C8</f>
        <v>60000</v>
      </c>
      <c r="E24" s="57" t="n">
        <v>0.02</v>
      </c>
      <c r="F24" s="56" t="n">
        <f aca="false">D24*E24</f>
        <v>1200</v>
      </c>
      <c r="G24" s="56" t="n">
        <f aca="false">D24-F24</f>
        <v>58800</v>
      </c>
    </row>
    <row r="25" customFormat="false" ht="15" hidden="false" customHeight="false" outlineLevel="0" collapsed="false">
      <c r="B25" s="17" t="s">
        <v>32</v>
      </c>
      <c r="C25" s="18" t="s">
        <v>26</v>
      </c>
      <c r="D25" s="56" t="n">
        <f aca="false">C8*C10*C11</f>
        <v>600</v>
      </c>
      <c r="E25" s="57" t="n">
        <v>0.02</v>
      </c>
      <c r="F25" s="56" t="n">
        <f aca="false">D25*E25</f>
        <v>12</v>
      </c>
      <c r="G25" s="56" t="n">
        <f aca="false">D25-F25</f>
        <v>588</v>
      </c>
    </row>
    <row r="26" customFormat="false" ht="15" hidden="false" customHeight="false" outlineLevel="0" collapsed="false">
      <c r="B26" s="17" t="s">
        <v>34</v>
      </c>
      <c r="C26" s="18" t="s">
        <v>26</v>
      </c>
      <c r="D26" s="56" t="n">
        <f aca="false">C8*C9</f>
        <v>4998</v>
      </c>
      <c r="E26" s="57" t="n">
        <v>0.02</v>
      </c>
      <c r="F26" s="56" t="n">
        <f aca="false">D26*E26</f>
        <v>99.96</v>
      </c>
      <c r="G26" s="56" t="n">
        <f aca="false">D26-F26</f>
        <v>4898.04</v>
      </c>
    </row>
    <row r="27" customFormat="false" ht="15" hidden="false" customHeight="false" outlineLevel="0" collapsed="false">
      <c r="B27" s="9" t="s">
        <v>88</v>
      </c>
      <c r="C27" s="58" t="s">
        <v>14</v>
      </c>
      <c r="D27" s="59" t="n">
        <f aca="false">D15+D16+D17+D18+D19+D20</f>
        <v>2583773.58024691</v>
      </c>
      <c r="E27" s="60"/>
      <c r="F27" s="59" t="n">
        <f aca="false">D27*0.19</f>
        <v>490916.980246914</v>
      </c>
      <c r="G27" s="59" t="n">
        <f aca="false">D27-F27</f>
        <v>2092856.6</v>
      </c>
    </row>
    <row r="28" customFormat="false" ht="15" hidden="false" customHeight="false" outlineLevel="0" collapsed="false">
      <c r="B28" s="9" t="s">
        <v>89</v>
      </c>
      <c r="C28" s="58" t="s">
        <v>26</v>
      </c>
      <c r="D28" s="59" t="n">
        <f aca="false">D21+D22+D23+D24+D25+D26</f>
        <v>109330</v>
      </c>
      <c r="E28" s="60"/>
      <c r="F28" s="59" t="n">
        <f aca="false">D28*0.02</f>
        <v>2186.6</v>
      </c>
      <c r="G28" s="59" t="n">
        <f aca="false">D28-F28</f>
        <v>107143.4</v>
      </c>
    </row>
    <row r="29" customFormat="false" ht="16.15" hidden="false" customHeight="false" outlineLevel="0" collapsed="false">
      <c r="B29" s="61" t="s">
        <v>90</v>
      </c>
      <c r="C29" s="26"/>
      <c r="D29" s="62" t="n">
        <f aca="false">D15+D16+D17+D18+D19+D20+D21+D22+D23+D24+D25+D26</f>
        <v>2693103.58024691</v>
      </c>
      <c r="E29" s="26"/>
      <c r="F29" s="62" t="n">
        <f aca="false">(D15+D16+D17+D18+D19+D20)*0.19+(D21+D22+D23+D24+D25+D26)*0.02</f>
        <v>493103.580246914</v>
      </c>
      <c r="G29" s="63" t="n">
        <f aca="false">D29-F29</f>
        <v>2200000</v>
      </c>
    </row>
    <row r="31" customFormat="false" ht="15" hidden="false" customHeight="true" outlineLevel="0" collapsed="false">
      <c r="B31" s="4" t="s">
        <v>91</v>
      </c>
      <c r="C31" s="4"/>
      <c r="D31" s="4"/>
      <c r="E31" s="4"/>
      <c r="F31" s="4"/>
      <c r="G31" s="4"/>
    </row>
    <row r="32" customFormat="false" ht="16.15" hidden="false" customHeight="true" outlineLevel="0" collapsed="false">
      <c r="B32" s="22" t="s">
        <v>39</v>
      </c>
      <c r="C32" s="22"/>
      <c r="D32" s="22"/>
      <c r="E32" s="22"/>
      <c r="F32" s="64" t="n">
        <f aca="false">(D15+D16+D17+D18+D19+D20)*(1-0.19)+(D21+D22+D23+D24+D25+D26)*(1-0.02)</f>
        <v>2200000</v>
      </c>
      <c r="G32" s="64"/>
    </row>
    <row r="33" customFormat="false" ht="15" hidden="false" customHeight="true" outlineLevel="0" collapsed="false">
      <c r="B33" s="25" t="s">
        <v>41</v>
      </c>
      <c r="C33" s="25"/>
      <c r="D33" s="25"/>
      <c r="E33" s="25"/>
      <c r="F33" s="65" t="n">
        <f aca="false">D15+D16+D17+D18+D19+D20+D21+D22+D23+D24+D25+D26</f>
        <v>2693103.58024691</v>
      </c>
      <c r="G33" s="65"/>
    </row>
    <row r="34" customFormat="false" ht="15" hidden="false" customHeight="true" outlineLevel="0" collapsed="false">
      <c r="B34" s="29" t="s">
        <v>92</v>
      </c>
      <c r="C34" s="29"/>
      <c r="D34" s="29"/>
      <c r="E34" s="29"/>
      <c r="F34" s="66" t="n">
        <f aca="false">(D15+D16+D17+D18+D19+D20)*0.27+(D21+D22+D23+D24+D25+D26)*0.03</f>
        <v>700898.766666667</v>
      </c>
      <c r="G34" s="66"/>
    </row>
    <row r="35" customFormat="false" ht="16.15" hidden="false" customHeight="true" outlineLevel="0" collapsed="false">
      <c r="B35" s="67" t="s">
        <v>93</v>
      </c>
      <c r="C35" s="67"/>
      <c r="D35" s="67"/>
      <c r="E35" s="67"/>
      <c r="F35" s="68" t="n">
        <f aca="false">(D15+D16+D17+D18+D19+D20)*(1+0.27)+(D21+D22+D23+D24+D25+D26)*(1+0.03)</f>
        <v>3394002.34691358</v>
      </c>
      <c r="G35" s="68"/>
    </row>
    <row r="36" customFormat="false" ht="15" hidden="false" customHeight="true" outlineLevel="0" collapsed="false">
      <c r="B36" s="33" t="s">
        <v>47</v>
      </c>
      <c r="C36" s="33"/>
      <c r="D36" s="33"/>
      <c r="E36" s="33"/>
      <c r="F36" s="69" t="n">
        <f aca="false">(D15+D16+D17+D18+D19+D20)*(1.57-1-0.27)+(D21+D22+D23+D24+D25+D26)*(1.3-1-0.03)</f>
        <v>804651.174074074</v>
      </c>
      <c r="G36" s="69"/>
    </row>
    <row r="37" customFormat="false" ht="15" hidden="false" customHeight="true" outlineLevel="0" collapsed="false">
      <c r="B37" s="7" t="s">
        <v>51</v>
      </c>
      <c r="C37" s="7"/>
      <c r="D37" s="7"/>
      <c r="E37" s="7"/>
      <c r="F37" s="70" t="n">
        <f aca="false">(D15+D16+D17+D18+D19+D20)*1.57+(D21+D22+D23+D24+D25+D26)*1.3</f>
        <v>4198653.52098765</v>
      </c>
      <c r="G37" s="70"/>
    </row>
    <row r="38" customFormat="false" ht="15" hidden="false" customHeight="true" outlineLevel="0" collapsed="false">
      <c r="B38" s="5" t="s">
        <v>94</v>
      </c>
      <c r="C38" s="5"/>
      <c r="D38" s="5"/>
      <c r="E38" s="5"/>
      <c r="F38" s="71" t="n">
        <f aca="false">((D15+D16+D17+D18+D19+D20)*1.57+(D21+D22+D23+D24+D25+D26)*1.3)*0.21</f>
        <v>881717.239407407</v>
      </c>
      <c r="G38" s="71"/>
    </row>
    <row r="39" customFormat="false" ht="16.15" hidden="false" customHeight="true" outlineLevel="0" collapsed="false">
      <c r="B39" s="40" t="s">
        <v>56</v>
      </c>
      <c r="C39" s="40"/>
      <c r="D39" s="40"/>
      <c r="E39" s="40"/>
      <c r="F39" s="63" t="n">
        <f aca="false">((D15+D16+D17+D18+D19+D20)*1.57+(D21+D22+D23+D24+D25+D26)*1.3)*(1+0.21)</f>
        <v>5080370.76039506</v>
      </c>
      <c r="G39" s="63"/>
    </row>
  </sheetData>
  <mergeCells count="21">
    <mergeCell ref="B1:G1"/>
    <mergeCell ref="B2:G2"/>
    <mergeCell ref="B4:G4"/>
    <mergeCell ref="B13:G13"/>
    <mergeCell ref="B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E39"/>
    <mergeCell ref="F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B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18"/>
  </cols>
  <sheetData>
    <row r="1" customFormat="false" ht="19.7" hidden="false" customHeight="true" outlineLevel="0" collapsed="false">
      <c r="B1" s="51" t="s">
        <v>95</v>
      </c>
      <c r="C1" s="51"/>
      <c r="D1" s="51"/>
      <c r="E1" s="51"/>
      <c r="F1" s="51"/>
      <c r="G1" s="51"/>
    </row>
    <row r="2" customFormat="false" ht="15" hidden="false" customHeight="true" outlineLevel="0" collapsed="false">
      <c r="B2" s="52" t="s">
        <v>77</v>
      </c>
      <c r="C2" s="52"/>
      <c r="D2" s="52"/>
      <c r="E2" s="52"/>
      <c r="F2" s="52"/>
      <c r="G2" s="52"/>
    </row>
    <row r="4" customFormat="false" ht="15" hidden="false" customHeight="true" outlineLevel="0" collapsed="false">
      <c r="B4" s="4" t="s">
        <v>78</v>
      </c>
      <c r="C4" s="4"/>
      <c r="D4" s="4"/>
      <c r="E4" s="4"/>
      <c r="F4" s="4"/>
      <c r="G4" s="4"/>
    </row>
    <row r="5" customFormat="false" ht="26.85" hidden="false" customHeight="false" outlineLevel="0" collapsed="false">
      <c r="B5" s="5" t="s">
        <v>79</v>
      </c>
      <c r="C5" s="53" t="n">
        <v>2200000</v>
      </c>
    </row>
    <row r="6" customFormat="false" ht="26.85" hidden="false" customHeight="false" outlineLevel="0" collapsed="false">
      <c r="B6" s="5" t="s">
        <v>80</v>
      </c>
      <c r="C6" s="53" t="n">
        <v>1094044</v>
      </c>
    </row>
    <row r="7" customFormat="false" ht="15" hidden="false" customHeight="false" outlineLevel="0" collapsed="false">
      <c r="B7" s="5" t="s">
        <v>17</v>
      </c>
      <c r="C7" s="53" t="n">
        <v>40000</v>
      </c>
    </row>
    <row r="8" customFormat="false" ht="15" hidden="false" customHeight="false" outlineLevel="0" collapsed="false">
      <c r="B8" s="5" t="s">
        <v>19</v>
      </c>
      <c r="C8" s="53" t="n">
        <v>60000</v>
      </c>
    </row>
    <row r="9" customFormat="false" ht="15" hidden="false" customHeight="false" outlineLevel="0" collapsed="false">
      <c r="B9" s="5" t="s">
        <v>81</v>
      </c>
      <c r="C9" s="15" t="n">
        <v>0.0833</v>
      </c>
    </row>
    <row r="10" customFormat="false" ht="15" hidden="false" customHeight="false" outlineLevel="0" collapsed="false">
      <c r="B10" s="5" t="s">
        <v>82</v>
      </c>
      <c r="C10" s="16" t="n">
        <v>1</v>
      </c>
    </row>
    <row r="11" customFormat="false" ht="15" hidden="false" customHeight="false" outlineLevel="0" collapsed="false">
      <c r="B11" s="5" t="s">
        <v>25</v>
      </c>
      <c r="C11" s="15" t="n">
        <v>0.01</v>
      </c>
    </row>
    <row r="13" customFormat="false" ht="15" hidden="false" customHeight="true" outlineLevel="0" collapsed="false">
      <c r="B13" s="4" t="s">
        <v>83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10" t="s">
        <v>7</v>
      </c>
      <c r="C14" s="10" t="s">
        <v>8</v>
      </c>
      <c r="D14" s="10" t="s">
        <v>84</v>
      </c>
      <c r="E14" s="10" t="s">
        <v>85</v>
      </c>
      <c r="F14" s="10" t="s">
        <v>86</v>
      </c>
      <c r="G14" s="10" t="s">
        <v>87</v>
      </c>
    </row>
    <row r="15" customFormat="false" ht="15" hidden="false" customHeight="false" outlineLevel="0" collapsed="false">
      <c r="B15" s="11" t="s">
        <v>13</v>
      </c>
      <c r="C15" s="12" t="s">
        <v>14</v>
      </c>
      <c r="D15" s="54" t="n">
        <f aca="false">C6</f>
        <v>1094044</v>
      </c>
      <c r="E15" s="55" t="n">
        <v>0.19</v>
      </c>
      <c r="F15" s="54" t="n">
        <f aca="false">D15*E15</f>
        <v>207868.36</v>
      </c>
      <c r="G15" s="54" t="n">
        <f aca="false">D15-F15</f>
        <v>886175.64</v>
      </c>
    </row>
    <row r="16" customFormat="false" ht="15" hidden="false" customHeight="false" outlineLevel="0" collapsed="false">
      <c r="B16" s="11" t="s">
        <v>16</v>
      </c>
      <c r="C16" s="12" t="s">
        <v>14</v>
      </c>
      <c r="D16" s="54" t="n">
        <f aca="false">C6*C9</f>
        <v>91133.8652</v>
      </c>
      <c r="E16" s="55" t="n">
        <v>0.19</v>
      </c>
      <c r="F16" s="54" t="n">
        <f aca="false">D16*E16</f>
        <v>17315.434388</v>
      </c>
      <c r="G16" s="54" t="n">
        <f aca="false">D16-F16</f>
        <v>73818.430812</v>
      </c>
    </row>
    <row r="17" customFormat="false" ht="15" hidden="false" customHeight="false" outlineLevel="0" collapsed="false">
      <c r="B17" s="11" t="s">
        <v>18</v>
      </c>
      <c r="C17" s="12" t="s">
        <v>14</v>
      </c>
      <c r="D17" s="54" t="n">
        <f aca="false">C6*C10*C11</f>
        <v>10940.44</v>
      </c>
      <c r="E17" s="55" t="n">
        <v>0.19</v>
      </c>
      <c r="F17" s="54" t="n">
        <f aca="false">D17*E17</f>
        <v>2078.6836</v>
      </c>
      <c r="G17" s="54" t="n">
        <f aca="false">D17-F17</f>
        <v>8861.7564</v>
      </c>
    </row>
    <row r="18" customFormat="false" ht="15" hidden="false" customHeight="false" outlineLevel="0" collapsed="false">
      <c r="B18" s="11" t="s">
        <v>20</v>
      </c>
      <c r="C18" s="12" t="s">
        <v>14</v>
      </c>
      <c r="D18" s="54" t="n">
        <f aca="false">((C5-(D21+D22+D23+D24+D25+D26)*(1-0.02))/(1-0.19)-C6*(1+C9+C10*C11))/(1+C9+C10*C11)</f>
        <v>1269235.5941159</v>
      </c>
      <c r="E18" s="55" t="n">
        <v>0.19</v>
      </c>
      <c r="F18" s="54" t="n">
        <f aca="false">D18*E18</f>
        <v>241154.762882021</v>
      </c>
      <c r="G18" s="54" t="n">
        <f aca="false">D18-F18</f>
        <v>1028080.83123388</v>
      </c>
    </row>
    <row r="19" customFormat="false" ht="15" hidden="false" customHeight="false" outlineLevel="0" collapsed="false">
      <c r="B19" s="11" t="s">
        <v>22</v>
      </c>
      <c r="C19" s="12" t="s">
        <v>14</v>
      </c>
      <c r="D19" s="54" t="n">
        <f aca="false">D18*C9</f>
        <v>105727.324989855</v>
      </c>
      <c r="E19" s="55" t="n">
        <v>0.19</v>
      </c>
      <c r="F19" s="54" t="n">
        <f aca="false">D19*E19</f>
        <v>20088.1917480724</v>
      </c>
      <c r="G19" s="54" t="n">
        <f aca="false">D19-F19</f>
        <v>85639.1332417821</v>
      </c>
    </row>
    <row r="20" customFormat="false" ht="15" hidden="false" customHeight="false" outlineLevel="0" collapsed="false">
      <c r="B20" s="11" t="s">
        <v>24</v>
      </c>
      <c r="C20" s="12" t="s">
        <v>14</v>
      </c>
      <c r="D20" s="54" t="n">
        <f aca="false">D18*C10*C11</f>
        <v>12692.355941159</v>
      </c>
      <c r="E20" s="55" t="n">
        <v>0.19</v>
      </c>
      <c r="F20" s="54" t="n">
        <f aca="false">D20*E20</f>
        <v>2411.54762882021</v>
      </c>
      <c r="G20" s="54" t="n">
        <f aca="false">D20-F20</f>
        <v>10280.8083123388</v>
      </c>
    </row>
    <row r="21" customFormat="false" ht="15" hidden="false" customHeight="false" outlineLevel="0" collapsed="false">
      <c r="B21" s="17" t="s">
        <v>17</v>
      </c>
      <c r="C21" s="18" t="s">
        <v>26</v>
      </c>
      <c r="D21" s="56" t="n">
        <f aca="false">C7</f>
        <v>40000</v>
      </c>
      <c r="E21" s="57" t="n">
        <v>0.02</v>
      </c>
      <c r="F21" s="56" t="n">
        <f aca="false">D21*E21</f>
        <v>800</v>
      </c>
      <c r="G21" s="56" t="n">
        <f aca="false">D21-F21</f>
        <v>39200</v>
      </c>
    </row>
    <row r="22" customFormat="false" ht="15" hidden="false" customHeight="false" outlineLevel="0" collapsed="false">
      <c r="B22" s="17" t="s">
        <v>27</v>
      </c>
      <c r="C22" s="18" t="s">
        <v>26</v>
      </c>
      <c r="D22" s="56" t="n">
        <f aca="false">C7*C10*C11</f>
        <v>400</v>
      </c>
      <c r="E22" s="57" t="n">
        <v>0.02</v>
      </c>
      <c r="F22" s="56" t="n">
        <f aca="false">D22*E22</f>
        <v>8</v>
      </c>
      <c r="G22" s="56" t="n">
        <f aca="false">D22-F22</f>
        <v>392</v>
      </c>
    </row>
    <row r="23" customFormat="false" ht="15" hidden="false" customHeight="false" outlineLevel="0" collapsed="false">
      <c r="B23" s="17" t="s">
        <v>29</v>
      </c>
      <c r="C23" s="18" t="s">
        <v>26</v>
      </c>
      <c r="D23" s="56" t="n">
        <f aca="false">C7*C9</f>
        <v>3332</v>
      </c>
      <c r="E23" s="57" t="n">
        <v>0.02</v>
      </c>
      <c r="F23" s="56" t="n">
        <f aca="false">D23*E23</f>
        <v>66.64</v>
      </c>
      <c r="G23" s="56" t="n">
        <f aca="false">D23-F23</f>
        <v>3265.36</v>
      </c>
    </row>
    <row r="24" customFormat="false" ht="15" hidden="false" customHeight="false" outlineLevel="0" collapsed="false">
      <c r="B24" s="17" t="s">
        <v>19</v>
      </c>
      <c r="C24" s="18" t="s">
        <v>26</v>
      </c>
      <c r="D24" s="56" t="n">
        <f aca="false">C8</f>
        <v>60000</v>
      </c>
      <c r="E24" s="57" t="n">
        <v>0.02</v>
      </c>
      <c r="F24" s="56" t="n">
        <f aca="false">D24*E24</f>
        <v>1200</v>
      </c>
      <c r="G24" s="56" t="n">
        <f aca="false">D24-F24</f>
        <v>58800</v>
      </c>
    </row>
    <row r="25" customFormat="false" ht="15" hidden="false" customHeight="false" outlineLevel="0" collapsed="false">
      <c r="B25" s="17" t="s">
        <v>32</v>
      </c>
      <c r="C25" s="18" t="s">
        <v>26</v>
      </c>
      <c r="D25" s="56" t="n">
        <f aca="false">C8*C10*C11</f>
        <v>600</v>
      </c>
      <c r="E25" s="57" t="n">
        <v>0.02</v>
      </c>
      <c r="F25" s="56" t="n">
        <f aca="false">D25*E25</f>
        <v>12</v>
      </c>
      <c r="G25" s="56" t="n">
        <f aca="false">D25-F25</f>
        <v>588</v>
      </c>
    </row>
    <row r="26" customFormat="false" ht="15" hidden="false" customHeight="false" outlineLevel="0" collapsed="false">
      <c r="B26" s="17" t="s">
        <v>34</v>
      </c>
      <c r="C26" s="18" t="s">
        <v>26</v>
      </c>
      <c r="D26" s="56" t="n">
        <f aca="false">C8*C9</f>
        <v>4998</v>
      </c>
      <c r="E26" s="57" t="n">
        <v>0.02</v>
      </c>
      <c r="F26" s="56" t="n">
        <f aca="false">D26*E26</f>
        <v>99.96</v>
      </c>
      <c r="G26" s="56" t="n">
        <f aca="false">D26-F26</f>
        <v>4898.04</v>
      </c>
    </row>
    <row r="27" customFormat="false" ht="15" hidden="false" customHeight="false" outlineLevel="0" collapsed="false">
      <c r="B27" s="9" t="s">
        <v>88</v>
      </c>
      <c r="C27" s="58" t="s">
        <v>14</v>
      </c>
      <c r="D27" s="59" t="n">
        <f aca="false">D15+D16+D17+D18+D19+D20</f>
        <v>2583773.58024691</v>
      </c>
      <c r="E27" s="60"/>
      <c r="F27" s="59" t="n">
        <f aca="false">D27*0.19</f>
        <v>490916.980246914</v>
      </c>
      <c r="G27" s="59" t="n">
        <f aca="false">D27-F27</f>
        <v>2092856.6</v>
      </c>
    </row>
    <row r="28" customFormat="false" ht="15" hidden="false" customHeight="false" outlineLevel="0" collapsed="false">
      <c r="B28" s="9" t="s">
        <v>89</v>
      </c>
      <c r="C28" s="58" t="s">
        <v>26</v>
      </c>
      <c r="D28" s="59" t="n">
        <f aca="false">D21+D22+D23+D24+D25+D26</f>
        <v>109330</v>
      </c>
      <c r="E28" s="60"/>
      <c r="F28" s="59" t="n">
        <f aca="false">D28*0.02</f>
        <v>2186.6</v>
      </c>
      <c r="G28" s="59" t="n">
        <f aca="false">D28-F28</f>
        <v>107143.4</v>
      </c>
    </row>
    <row r="29" customFormat="false" ht="16.15" hidden="false" customHeight="false" outlineLevel="0" collapsed="false">
      <c r="B29" s="61" t="s">
        <v>90</v>
      </c>
      <c r="C29" s="26"/>
      <c r="D29" s="62" t="n">
        <f aca="false">D15+D16+D17+D18+D19+D20+D21+D22+D23+D24+D25+D26</f>
        <v>2693103.58024691</v>
      </c>
      <c r="E29" s="26"/>
      <c r="F29" s="62" t="n">
        <f aca="false">(D15+D16+D17+D18+D19+D20)*0.19+(D21+D22+D23+D24+D25+D26)*0.02</f>
        <v>493103.580246914</v>
      </c>
      <c r="G29" s="63" t="n">
        <f aca="false">D29-F29</f>
        <v>2200000</v>
      </c>
    </row>
    <row r="31" customFormat="false" ht="15" hidden="false" customHeight="true" outlineLevel="0" collapsed="false">
      <c r="B31" s="4" t="s">
        <v>91</v>
      </c>
      <c r="C31" s="4"/>
      <c r="D31" s="4"/>
      <c r="E31" s="4"/>
      <c r="F31" s="4"/>
      <c r="G31" s="4"/>
    </row>
    <row r="32" customFormat="false" ht="16.15" hidden="false" customHeight="true" outlineLevel="0" collapsed="false">
      <c r="B32" s="22" t="s">
        <v>39</v>
      </c>
      <c r="C32" s="22"/>
      <c r="D32" s="22"/>
      <c r="E32" s="22"/>
      <c r="F32" s="64" t="n">
        <f aca="false">(D15+D16+D17+D18+D19+D20)*(1-0.19)+(D21+D22+D23+D24+D25+D26)*(1-0.02)</f>
        <v>2200000</v>
      </c>
      <c r="G32" s="64"/>
    </row>
    <row r="33" customFormat="false" ht="15" hidden="false" customHeight="true" outlineLevel="0" collapsed="false">
      <c r="B33" s="25" t="s">
        <v>41</v>
      </c>
      <c r="C33" s="25"/>
      <c r="D33" s="25"/>
      <c r="E33" s="25"/>
      <c r="F33" s="65" t="n">
        <f aca="false">D15+D16+D17+D18+D19+D20+D21+D22+D23+D24+D25+D26</f>
        <v>2693103.58024691</v>
      </c>
      <c r="G33" s="65"/>
    </row>
    <row r="34" customFormat="false" ht="15" hidden="false" customHeight="true" outlineLevel="0" collapsed="false">
      <c r="B34" s="29" t="s">
        <v>92</v>
      </c>
      <c r="C34" s="29"/>
      <c r="D34" s="29"/>
      <c r="E34" s="29"/>
      <c r="F34" s="66" t="n">
        <f aca="false">(D15+D16+D17+D18+D19+D20)*0.27+(D21+D22+D23+D24+D25+D26)*0.03</f>
        <v>700898.766666667</v>
      </c>
      <c r="G34" s="66"/>
    </row>
    <row r="35" customFormat="false" ht="16.15" hidden="false" customHeight="true" outlineLevel="0" collapsed="false">
      <c r="B35" s="67" t="s">
        <v>93</v>
      </c>
      <c r="C35" s="67"/>
      <c r="D35" s="67"/>
      <c r="E35" s="67"/>
      <c r="F35" s="68" t="n">
        <f aca="false">(D15+D16+D17+D18+D19+D20)*(1+0.27)+(D21+D22+D23+D24+D25+D26)*(1+0.03)</f>
        <v>3394002.34691358</v>
      </c>
      <c r="G35" s="68"/>
    </row>
    <row r="36" customFormat="false" ht="15" hidden="false" customHeight="true" outlineLevel="0" collapsed="false">
      <c r="B36" s="33" t="s">
        <v>47</v>
      </c>
      <c r="C36" s="33"/>
      <c r="D36" s="33"/>
      <c r="E36" s="33"/>
      <c r="F36" s="69" t="n">
        <f aca="false">(D15+D16+D17+D18+D19+D20)*(1.57-1-0.27)+(D21+D22+D23+D24+D25+D26)*(1.3-1-0.03)</f>
        <v>804651.174074074</v>
      </c>
      <c r="G36" s="69"/>
    </row>
    <row r="37" customFormat="false" ht="15" hidden="false" customHeight="true" outlineLevel="0" collapsed="false">
      <c r="B37" s="7" t="s">
        <v>51</v>
      </c>
      <c r="C37" s="7"/>
      <c r="D37" s="7"/>
      <c r="E37" s="7"/>
      <c r="F37" s="70" t="n">
        <f aca="false">(D15+D16+D17+D18+D19+D20)*1.57+(D21+D22+D23+D24+D25+D26)*1.3</f>
        <v>4198653.52098765</v>
      </c>
      <c r="G37" s="70"/>
    </row>
    <row r="38" customFormat="false" ht="15" hidden="false" customHeight="true" outlineLevel="0" collapsed="false">
      <c r="B38" s="5" t="s">
        <v>94</v>
      </c>
      <c r="C38" s="5"/>
      <c r="D38" s="5"/>
      <c r="E38" s="5"/>
      <c r="F38" s="71" t="n">
        <f aca="false">((D15+D16+D17+D18+D19+D20)*1.57+(D21+D22+D23+D24+D25+D26)*1.3)*0.21</f>
        <v>881717.239407407</v>
      </c>
      <c r="G38" s="71"/>
    </row>
    <row r="39" customFormat="false" ht="16.15" hidden="false" customHeight="true" outlineLevel="0" collapsed="false">
      <c r="B39" s="40" t="s">
        <v>56</v>
      </c>
      <c r="C39" s="40"/>
      <c r="D39" s="40"/>
      <c r="E39" s="40"/>
      <c r="F39" s="63" t="n">
        <f aca="false">((D15+D16+D17+D18+D19+D20)*1.57+(D21+D22+D23+D24+D25+D26)*1.3)*(1+0.21)</f>
        <v>5080370.76039506</v>
      </c>
      <c r="G39" s="63"/>
    </row>
  </sheetData>
  <mergeCells count="21">
    <mergeCell ref="B1:G1"/>
    <mergeCell ref="B2:G2"/>
    <mergeCell ref="B4:G4"/>
    <mergeCell ref="B13:G13"/>
    <mergeCell ref="B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E39"/>
    <mergeCell ref="F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B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18"/>
  </cols>
  <sheetData>
    <row r="1" customFormat="false" ht="19.7" hidden="false" customHeight="true" outlineLevel="0" collapsed="false">
      <c r="B1" s="51" t="s">
        <v>96</v>
      </c>
      <c r="C1" s="51"/>
      <c r="D1" s="51"/>
      <c r="E1" s="51"/>
      <c r="F1" s="51"/>
      <c r="G1" s="51"/>
    </row>
    <row r="2" customFormat="false" ht="15" hidden="false" customHeight="true" outlineLevel="0" collapsed="false">
      <c r="B2" s="52" t="s">
        <v>77</v>
      </c>
      <c r="C2" s="52"/>
      <c r="D2" s="52"/>
      <c r="E2" s="52"/>
      <c r="F2" s="52"/>
      <c r="G2" s="52"/>
    </row>
    <row r="4" customFormat="false" ht="15" hidden="false" customHeight="true" outlineLevel="0" collapsed="false">
      <c r="B4" s="4" t="s">
        <v>78</v>
      </c>
      <c r="C4" s="4"/>
      <c r="D4" s="4"/>
      <c r="E4" s="4"/>
      <c r="F4" s="4"/>
      <c r="G4" s="4"/>
    </row>
    <row r="5" customFormat="false" ht="26.85" hidden="false" customHeight="false" outlineLevel="0" collapsed="false">
      <c r="B5" s="5" t="s">
        <v>79</v>
      </c>
      <c r="C5" s="53" t="n">
        <v>2200000</v>
      </c>
    </row>
    <row r="6" customFormat="false" ht="26.85" hidden="false" customHeight="false" outlineLevel="0" collapsed="false">
      <c r="B6" s="5" t="s">
        <v>80</v>
      </c>
      <c r="C6" s="53" t="n">
        <v>1094044</v>
      </c>
    </row>
    <row r="7" customFormat="false" ht="15" hidden="false" customHeight="false" outlineLevel="0" collapsed="false">
      <c r="B7" s="5" t="s">
        <v>17</v>
      </c>
      <c r="C7" s="53" t="n">
        <v>40000</v>
      </c>
    </row>
    <row r="8" customFormat="false" ht="15" hidden="false" customHeight="false" outlineLevel="0" collapsed="false">
      <c r="B8" s="5" t="s">
        <v>19</v>
      </c>
      <c r="C8" s="53" t="n">
        <v>60000</v>
      </c>
    </row>
    <row r="9" customFormat="false" ht="15" hidden="false" customHeight="false" outlineLevel="0" collapsed="false">
      <c r="B9" s="5" t="s">
        <v>81</v>
      </c>
      <c r="C9" s="15" t="n">
        <v>0.0833</v>
      </c>
    </row>
    <row r="10" customFormat="false" ht="15" hidden="false" customHeight="false" outlineLevel="0" collapsed="false">
      <c r="B10" s="5" t="s">
        <v>82</v>
      </c>
      <c r="C10" s="16" t="n">
        <v>1</v>
      </c>
    </row>
    <row r="11" customFormat="false" ht="15" hidden="false" customHeight="false" outlineLevel="0" collapsed="false">
      <c r="B11" s="5" t="s">
        <v>25</v>
      </c>
      <c r="C11" s="15" t="n">
        <v>0.01</v>
      </c>
    </row>
    <row r="13" customFormat="false" ht="15" hidden="false" customHeight="true" outlineLevel="0" collapsed="false">
      <c r="B13" s="4" t="s">
        <v>83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10" t="s">
        <v>7</v>
      </c>
      <c r="C14" s="10" t="s">
        <v>8</v>
      </c>
      <c r="D14" s="10" t="s">
        <v>84</v>
      </c>
      <c r="E14" s="10" t="s">
        <v>85</v>
      </c>
      <c r="F14" s="10" t="s">
        <v>86</v>
      </c>
      <c r="G14" s="10" t="s">
        <v>87</v>
      </c>
    </row>
    <row r="15" customFormat="false" ht="15" hidden="false" customHeight="false" outlineLevel="0" collapsed="false">
      <c r="B15" s="11" t="s">
        <v>13</v>
      </c>
      <c r="C15" s="12" t="s">
        <v>14</v>
      </c>
      <c r="D15" s="54" t="n">
        <f aca="false">C6</f>
        <v>1094044</v>
      </c>
      <c r="E15" s="55" t="n">
        <v>0.19</v>
      </c>
      <c r="F15" s="54" t="n">
        <f aca="false">D15*E15</f>
        <v>207868.36</v>
      </c>
      <c r="G15" s="54" t="n">
        <f aca="false">D15-F15</f>
        <v>886175.64</v>
      </c>
    </row>
    <row r="16" customFormat="false" ht="15" hidden="false" customHeight="false" outlineLevel="0" collapsed="false">
      <c r="B16" s="11" t="s">
        <v>16</v>
      </c>
      <c r="C16" s="12" t="s">
        <v>14</v>
      </c>
      <c r="D16" s="54" t="n">
        <f aca="false">C6*C9</f>
        <v>91133.8652</v>
      </c>
      <c r="E16" s="55" t="n">
        <v>0.19</v>
      </c>
      <c r="F16" s="54" t="n">
        <f aca="false">D16*E16</f>
        <v>17315.434388</v>
      </c>
      <c r="G16" s="54" t="n">
        <f aca="false">D16-F16</f>
        <v>73818.430812</v>
      </c>
    </row>
    <row r="17" customFormat="false" ht="15" hidden="false" customHeight="false" outlineLevel="0" collapsed="false">
      <c r="B17" s="11" t="s">
        <v>18</v>
      </c>
      <c r="C17" s="12" t="s">
        <v>14</v>
      </c>
      <c r="D17" s="54" t="n">
        <f aca="false">C6*C10*C11</f>
        <v>10940.44</v>
      </c>
      <c r="E17" s="55" t="n">
        <v>0.19</v>
      </c>
      <c r="F17" s="54" t="n">
        <f aca="false">D17*E17</f>
        <v>2078.6836</v>
      </c>
      <c r="G17" s="54" t="n">
        <f aca="false">D17-F17</f>
        <v>8861.7564</v>
      </c>
    </row>
    <row r="18" customFormat="false" ht="15" hidden="false" customHeight="false" outlineLevel="0" collapsed="false">
      <c r="B18" s="11" t="s">
        <v>20</v>
      </c>
      <c r="C18" s="12" t="s">
        <v>14</v>
      </c>
      <c r="D18" s="54" t="n">
        <f aca="false">((C5-(D21+D22+D23+D24+D25+D26)*(1-0.02))/(1-0.19)-C6*(1+C9+C10*C11))/(1+C9+C10*C11)</f>
        <v>1269235.5941159</v>
      </c>
      <c r="E18" s="55" t="n">
        <v>0.19</v>
      </c>
      <c r="F18" s="54" t="n">
        <f aca="false">D18*E18</f>
        <v>241154.762882021</v>
      </c>
      <c r="G18" s="54" t="n">
        <f aca="false">D18-F18</f>
        <v>1028080.83123388</v>
      </c>
    </row>
    <row r="19" customFormat="false" ht="15" hidden="false" customHeight="false" outlineLevel="0" collapsed="false">
      <c r="B19" s="11" t="s">
        <v>22</v>
      </c>
      <c r="C19" s="12" t="s">
        <v>14</v>
      </c>
      <c r="D19" s="54" t="n">
        <f aca="false">D18*C9</f>
        <v>105727.324989855</v>
      </c>
      <c r="E19" s="55" t="n">
        <v>0.19</v>
      </c>
      <c r="F19" s="54" t="n">
        <f aca="false">D19*E19</f>
        <v>20088.1917480724</v>
      </c>
      <c r="G19" s="54" t="n">
        <f aca="false">D19-F19</f>
        <v>85639.1332417821</v>
      </c>
    </row>
    <row r="20" customFormat="false" ht="15" hidden="false" customHeight="false" outlineLevel="0" collapsed="false">
      <c r="B20" s="11" t="s">
        <v>24</v>
      </c>
      <c r="C20" s="12" t="s">
        <v>14</v>
      </c>
      <c r="D20" s="54" t="n">
        <f aca="false">D18*C10*C11</f>
        <v>12692.355941159</v>
      </c>
      <c r="E20" s="55" t="n">
        <v>0.19</v>
      </c>
      <c r="F20" s="54" t="n">
        <f aca="false">D20*E20</f>
        <v>2411.54762882021</v>
      </c>
      <c r="G20" s="54" t="n">
        <f aca="false">D20-F20</f>
        <v>10280.8083123388</v>
      </c>
    </row>
    <row r="21" customFormat="false" ht="15" hidden="false" customHeight="false" outlineLevel="0" collapsed="false">
      <c r="B21" s="17" t="s">
        <v>17</v>
      </c>
      <c r="C21" s="18" t="s">
        <v>26</v>
      </c>
      <c r="D21" s="56" t="n">
        <f aca="false">C7</f>
        <v>40000</v>
      </c>
      <c r="E21" s="57" t="n">
        <v>0.02</v>
      </c>
      <c r="F21" s="56" t="n">
        <f aca="false">D21*E21</f>
        <v>800</v>
      </c>
      <c r="G21" s="56" t="n">
        <f aca="false">D21-F21</f>
        <v>39200</v>
      </c>
    </row>
    <row r="22" customFormat="false" ht="15" hidden="false" customHeight="false" outlineLevel="0" collapsed="false">
      <c r="B22" s="17" t="s">
        <v>27</v>
      </c>
      <c r="C22" s="18" t="s">
        <v>26</v>
      </c>
      <c r="D22" s="56" t="n">
        <f aca="false">C7*C10*C11</f>
        <v>400</v>
      </c>
      <c r="E22" s="57" t="n">
        <v>0.02</v>
      </c>
      <c r="F22" s="56" t="n">
        <f aca="false">D22*E22</f>
        <v>8</v>
      </c>
      <c r="G22" s="56" t="n">
        <f aca="false">D22-F22</f>
        <v>392</v>
      </c>
    </row>
    <row r="23" customFormat="false" ht="15" hidden="false" customHeight="false" outlineLevel="0" collapsed="false">
      <c r="B23" s="17" t="s">
        <v>29</v>
      </c>
      <c r="C23" s="18" t="s">
        <v>26</v>
      </c>
      <c r="D23" s="56" t="n">
        <f aca="false">C7*C9</f>
        <v>3332</v>
      </c>
      <c r="E23" s="57" t="n">
        <v>0.02</v>
      </c>
      <c r="F23" s="56" t="n">
        <f aca="false">D23*E23</f>
        <v>66.64</v>
      </c>
      <c r="G23" s="56" t="n">
        <f aca="false">D23-F23</f>
        <v>3265.36</v>
      </c>
    </row>
    <row r="24" customFormat="false" ht="15" hidden="false" customHeight="false" outlineLevel="0" collapsed="false">
      <c r="B24" s="17" t="s">
        <v>19</v>
      </c>
      <c r="C24" s="18" t="s">
        <v>26</v>
      </c>
      <c r="D24" s="56" t="n">
        <f aca="false">C8</f>
        <v>60000</v>
      </c>
      <c r="E24" s="57" t="n">
        <v>0.02</v>
      </c>
      <c r="F24" s="56" t="n">
        <f aca="false">D24*E24</f>
        <v>1200</v>
      </c>
      <c r="G24" s="56" t="n">
        <f aca="false">D24-F24</f>
        <v>58800</v>
      </c>
    </row>
    <row r="25" customFormat="false" ht="15" hidden="false" customHeight="false" outlineLevel="0" collapsed="false">
      <c r="B25" s="17" t="s">
        <v>32</v>
      </c>
      <c r="C25" s="18" t="s">
        <v>26</v>
      </c>
      <c r="D25" s="56" t="n">
        <f aca="false">C8*C10*C11</f>
        <v>600</v>
      </c>
      <c r="E25" s="57" t="n">
        <v>0.02</v>
      </c>
      <c r="F25" s="56" t="n">
        <f aca="false">D25*E25</f>
        <v>12</v>
      </c>
      <c r="G25" s="56" t="n">
        <f aca="false">D25-F25</f>
        <v>588</v>
      </c>
    </row>
    <row r="26" customFormat="false" ht="15" hidden="false" customHeight="false" outlineLevel="0" collapsed="false">
      <c r="B26" s="17" t="s">
        <v>34</v>
      </c>
      <c r="C26" s="18" t="s">
        <v>26</v>
      </c>
      <c r="D26" s="56" t="n">
        <f aca="false">C8*C9</f>
        <v>4998</v>
      </c>
      <c r="E26" s="57" t="n">
        <v>0.02</v>
      </c>
      <c r="F26" s="56" t="n">
        <f aca="false">D26*E26</f>
        <v>99.96</v>
      </c>
      <c r="G26" s="56" t="n">
        <f aca="false">D26-F26</f>
        <v>4898.04</v>
      </c>
    </row>
    <row r="27" customFormat="false" ht="15" hidden="false" customHeight="false" outlineLevel="0" collapsed="false">
      <c r="B27" s="9" t="s">
        <v>88</v>
      </c>
      <c r="C27" s="58" t="s">
        <v>14</v>
      </c>
      <c r="D27" s="59" t="n">
        <f aca="false">D15+D16+D17+D18+D19+D20</f>
        <v>2583773.58024691</v>
      </c>
      <c r="E27" s="60"/>
      <c r="F27" s="59" t="n">
        <f aca="false">D27*0.19</f>
        <v>490916.980246914</v>
      </c>
      <c r="G27" s="59" t="n">
        <f aca="false">D27-F27</f>
        <v>2092856.6</v>
      </c>
    </row>
    <row r="28" customFormat="false" ht="15" hidden="false" customHeight="false" outlineLevel="0" collapsed="false">
      <c r="B28" s="9" t="s">
        <v>89</v>
      </c>
      <c r="C28" s="58" t="s">
        <v>26</v>
      </c>
      <c r="D28" s="59" t="n">
        <f aca="false">D21+D22+D23+D24+D25+D26</f>
        <v>109330</v>
      </c>
      <c r="E28" s="60"/>
      <c r="F28" s="59" t="n">
        <f aca="false">D28*0.02</f>
        <v>2186.6</v>
      </c>
      <c r="G28" s="59" t="n">
        <f aca="false">D28-F28</f>
        <v>107143.4</v>
      </c>
    </row>
    <row r="29" customFormat="false" ht="16.15" hidden="false" customHeight="false" outlineLevel="0" collapsed="false">
      <c r="B29" s="61" t="s">
        <v>90</v>
      </c>
      <c r="C29" s="26"/>
      <c r="D29" s="62" t="n">
        <f aca="false">D15+D16+D17+D18+D19+D20+D21+D22+D23+D24+D25+D26</f>
        <v>2693103.58024691</v>
      </c>
      <c r="E29" s="26"/>
      <c r="F29" s="62" t="n">
        <f aca="false">(D15+D16+D17+D18+D19+D20)*0.19+(D21+D22+D23+D24+D25+D26)*0.02</f>
        <v>493103.580246914</v>
      </c>
      <c r="G29" s="63" t="n">
        <f aca="false">D29-F29</f>
        <v>2200000</v>
      </c>
    </row>
    <row r="31" customFormat="false" ht="15" hidden="false" customHeight="true" outlineLevel="0" collapsed="false">
      <c r="B31" s="4" t="s">
        <v>91</v>
      </c>
      <c r="C31" s="4"/>
      <c r="D31" s="4"/>
      <c r="E31" s="4"/>
      <c r="F31" s="4"/>
      <c r="G31" s="4"/>
    </row>
    <row r="32" customFormat="false" ht="16.15" hidden="false" customHeight="true" outlineLevel="0" collapsed="false">
      <c r="B32" s="22" t="s">
        <v>39</v>
      </c>
      <c r="C32" s="22"/>
      <c r="D32" s="22"/>
      <c r="E32" s="22"/>
      <c r="F32" s="64" t="n">
        <f aca="false">(D15+D16+D17+D18+D19+D20)*(1-0.19)+(D21+D22+D23+D24+D25+D26)*(1-0.02)</f>
        <v>2200000</v>
      </c>
      <c r="G32" s="64"/>
    </row>
    <row r="33" customFormat="false" ht="15" hidden="false" customHeight="true" outlineLevel="0" collapsed="false">
      <c r="B33" s="25" t="s">
        <v>41</v>
      </c>
      <c r="C33" s="25"/>
      <c r="D33" s="25"/>
      <c r="E33" s="25"/>
      <c r="F33" s="65" t="n">
        <f aca="false">D15+D16+D17+D18+D19+D20+D21+D22+D23+D24+D25+D26</f>
        <v>2693103.58024691</v>
      </c>
      <c r="G33" s="65"/>
    </row>
    <row r="34" customFormat="false" ht="15" hidden="false" customHeight="true" outlineLevel="0" collapsed="false">
      <c r="B34" s="29" t="s">
        <v>92</v>
      </c>
      <c r="C34" s="29"/>
      <c r="D34" s="29"/>
      <c r="E34" s="29"/>
      <c r="F34" s="66" t="n">
        <f aca="false">(D15+D16+D17+D18+D19+D20)*0.27+(D21+D22+D23+D24+D25+D26)*0.03</f>
        <v>700898.766666667</v>
      </c>
      <c r="G34" s="66"/>
    </row>
    <row r="35" customFormat="false" ht="16.15" hidden="false" customHeight="true" outlineLevel="0" collapsed="false">
      <c r="B35" s="67" t="s">
        <v>93</v>
      </c>
      <c r="C35" s="67"/>
      <c r="D35" s="67"/>
      <c r="E35" s="67"/>
      <c r="F35" s="68" t="n">
        <f aca="false">(D15+D16+D17+D18+D19+D20)*(1+0.27)+(D21+D22+D23+D24+D25+D26)*(1+0.03)</f>
        <v>3394002.34691358</v>
      </c>
      <c r="G35" s="68"/>
    </row>
    <row r="36" customFormat="false" ht="15" hidden="false" customHeight="true" outlineLevel="0" collapsed="false">
      <c r="B36" s="33" t="s">
        <v>47</v>
      </c>
      <c r="C36" s="33"/>
      <c r="D36" s="33"/>
      <c r="E36" s="33"/>
      <c r="F36" s="69" t="n">
        <f aca="false">(D15+D16+D17+D18+D19+D20)*(1.57-1-0.27)+(D21+D22+D23+D24+D25+D26)*(1.3-1-0.03)</f>
        <v>804651.174074074</v>
      </c>
      <c r="G36" s="69"/>
    </row>
    <row r="37" customFormat="false" ht="15" hidden="false" customHeight="true" outlineLevel="0" collapsed="false">
      <c r="B37" s="7" t="s">
        <v>51</v>
      </c>
      <c r="C37" s="7"/>
      <c r="D37" s="7"/>
      <c r="E37" s="7"/>
      <c r="F37" s="70" t="n">
        <f aca="false">(D15+D16+D17+D18+D19+D20)*1.57+(D21+D22+D23+D24+D25+D26)*1.3</f>
        <v>4198653.52098765</v>
      </c>
      <c r="G37" s="70"/>
    </row>
    <row r="38" customFormat="false" ht="15" hidden="false" customHeight="true" outlineLevel="0" collapsed="false">
      <c r="B38" s="5" t="s">
        <v>94</v>
      </c>
      <c r="C38" s="5"/>
      <c r="D38" s="5"/>
      <c r="E38" s="5"/>
      <c r="F38" s="71" t="n">
        <f aca="false">((D15+D16+D17+D18+D19+D20)*1.57+(D21+D22+D23+D24+D25+D26)*1.3)*0.21</f>
        <v>881717.239407407</v>
      </c>
      <c r="G38" s="71"/>
    </row>
    <row r="39" customFormat="false" ht="16.15" hidden="false" customHeight="true" outlineLevel="0" collapsed="false">
      <c r="B39" s="40" t="s">
        <v>56</v>
      </c>
      <c r="C39" s="40"/>
      <c r="D39" s="40"/>
      <c r="E39" s="40"/>
      <c r="F39" s="63" t="n">
        <f aca="false">((D15+D16+D17+D18+D19+D20)*1.57+(D21+D22+D23+D24+D25+D26)*1.3)*(1+0.21)</f>
        <v>5080370.76039506</v>
      </c>
      <c r="G39" s="63"/>
    </row>
  </sheetData>
  <mergeCells count="21">
    <mergeCell ref="B1:G1"/>
    <mergeCell ref="B2:G2"/>
    <mergeCell ref="B4:G4"/>
    <mergeCell ref="B13:G13"/>
    <mergeCell ref="B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E39"/>
    <mergeCell ref="F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2026-04-06T17:32:12Z</dcterms:created>
  <dc:creator>openpyxl</dc:creator>
  <dc:description/>
  <dc:language>en-US</dc:language>
  <cp:lastModifiedBy/>
  <dcterms:modified xsi:type="dcterms:W3CDTF">2026-04-15T19:53:38Z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